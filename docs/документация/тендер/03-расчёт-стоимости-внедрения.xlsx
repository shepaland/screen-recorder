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lfa/Desktop/Альфа/Проекты/Запись экранов/screen-recorder/docs/"/>
    </mc:Choice>
  </mc:AlternateContent>
  <xr:revisionPtr revIDLastSave="0" documentId="13_ncr:1_{6A1A5DC1-F6EB-BF4B-8062-5946DAB01471}" xr6:coauthVersionLast="47" xr6:coauthVersionMax="47" xr10:uidLastSave="{00000000-0000-0000-0000-000000000000}"/>
  <bookViews>
    <workbookView xWindow="0" yWindow="660" windowWidth="34560" windowHeight="20360" xr2:uid="{00000000-000D-0000-FFFF-FFFF00000000}"/>
  </bookViews>
  <sheets>
    <sheet name="Параметры" sheetId="1" r:id="rId1"/>
    <sheet name="Внедрение" sheetId="2" r:id="rId2"/>
    <sheet name="Сопровождение" sheetId="3" r:id="rId3"/>
    <sheet name="Сводка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4" l="1"/>
  <c r="F14" i="3"/>
  <c r="G8" i="3"/>
  <c r="F8" i="3"/>
  <c r="B8" i="3"/>
  <c r="G7" i="3"/>
  <c r="F7" i="3"/>
  <c r="B7" i="3"/>
  <c r="G6" i="3"/>
  <c r="F6" i="3"/>
  <c r="H6" i="3" s="1"/>
  <c r="B6" i="3"/>
  <c r="H5" i="3"/>
  <c r="G5" i="3"/>
  <c r="F5" i="3"/>
  <c r="B5" i="3"/>
  <c r="G4" i="3"/>
  <c r="H4" i="3" s="1"/>
  <c r="F4" i="3"/>
  <c r="B4" i="3"/>
  <c r="G41" i="2"/>
  <c r="F41" i="2"/>
  <c r="H41" i="2" s="1"/>
  <c r="B41" i="2"/>
  <c r="G40" i="2"/>
  <c r="H40" i="2" s="1"/>
  <c r="F40" i="2"/>
  <c r="B40" i="2"/>
  <c r="G39" i="2"/>
  <c r="F39" i="2"/>
  <c r="H39" i="2" s="1"/>
  <c r="B39" i="2"/>
  <c r="H38" i="2"/>
  <c r="G38" i="2"/>
  <c r="F38" i="2"/>
  <c r="B38" i="2"/>
  <c r="G37" i="2"/>
  <c r="F37" i="2"/>
  <c r="B37" i="2"/>
  <c r="F34" i="2"/>
  <c r="G33" i="2"/>
  <c r="H33" i="2" s="1"/>
  <c r="F33" i="2"/>
  <c r="B33" i="2"/>
  <c r="G32" i="2"/>
  <c r="F32" i="2"/>
  <c r="B32" i="2"/>
  <c r="G31" i="2"/>
  <c r="F31" i="2"/>
  <c r="H31" i="2" s="1"/>
  <c r="B31" i="2"/>
  <c r="G30" i="2"/>
  <c r="H30" i="2" s="1"/>
  <c r="F30" i="2"/>
  <c r="B30" i="2"/>
  <c r="G29" i="2"/>
  <c r="F29" i="2"/>
  <c r="B29" i="2"/>
  <c r="F26" i="2"/>
  <c r="G25" i="2"/>
  <c r="H25" i="2" s="1"/>
  <c r="F25" i="2"/>
  <c r="B25" i="2"/>
  <c r="G24" i="2"/>
  <c r="F24" i="2"/>
  <c r="H24" i="2" s="1"/>
  <c r="B24" i="2"/>
  <c r="G23" i="2"/>
  <c r="H23" i="2" s="1"/>
  <c r="F23" i="2"/>
  <c r="B23" i="2"/>
  <c r="G22" i="2"/>
  <c r="F22" i="2"/>
  <c r="H22" i="2" s="1"/>
  <c r="B22" i="2"/>
  <c r="G21" i="2"/>
  <c r="F21" i="2"/>
  <c r="H21" i="2" s="1"/>
  <c r="B21" i="2"/>
  <c r="G20" i="2"/>
  <c r="H20" i="2" s="1"/>
  <c r="F20" i="2"/>
  <c r="B20" i="2"/>
  <c r="G16" i="2"/>
  <c r="F16" i="2"/>
  <c r="F17" i="2" s="1"/>
  <c r="B16" i="2"/>
  <c r="G15" i="2"/>
  <c r="F15" i="2"/>
  <c r="H15" i="2" s="1"/>
  <c r="B15" i="2"/>
  <c r="G14" i="2"/>
  <c r="F14" i="2"/>
  <c r="B14" i="2"/>
  <c r="G13" i="2"/>
  <c r="H13" i="2" s="1"/>
  <c r="F13" i="2"/>
  <c r="B13" i="2"/>
  <c r="G12" i="2"/>
  <c r="F12" i="2"/>
  <c r="H12" i="2" s="1"/>
  <c r="B12" i="2"/>
  <c r="G8" i="2"/>
  <c r="H8" i="2" s="1"/>
  <c r="F8" i="2"/>
  <c r="B8" i="2"/>
  <c r="G7" i="2"/>
  <c r="F7" i="2"/>
  <c r="H7" i="2" s="1"/>
  <c r="B7" i="2"/>
  <c r="G6" i="2"/>
  <c r="F6" i="2"/>
  <c r="H6" i="2" s="1"/>
  <c r="B6" i="2"/>
  <c r="G5" i="2"/>
  <c r="H5" i="2" s="1"/>
  <c r="F5" i="2"/>
  <c r="B5" i="2"/>
  <c r="H8" i="3" l="1"/>
  <c r="H14" i="2"/>
  <c r="H7" i="3"/>
  <c r="H10" i="3" s="1"/>
  <c r="H32" i="2"/>
  <c r="H29" i="2"/>
  <c r="H34" i="2" s="1"/>
  <c r="H37" i="2"/>
  <c r="H9" i="2"/>
  <c r="H26" i="2"/>
  <c r="H42" i="2"/>
  <c r="F9" i="2"/>
  <c r="H16" i="2"/>
  <c r="H17" i="2" s="1"/>
  <c r="F42" i="2"/>
  <c r="F49" i="2" l="1"/>
  <c r="F50" i="2" s="1"/>
  <c r="H11" i="3"/>
  <c r="H12" i="3" s="1"/>
  <c r="C5" i="4" s="1"/>
  <c r="C9" i="4" s="1"/>
  <c r="B5" i="4"/>
  <c r="B9" i="4" s="1"/>
  <c r="H45" i="2"/>
  <c r="B4" i="4" l="1"/>
  <c r="B8" i="4" s="1"/>
  <c r="H46" i="2"/>
  <c r="H47" i="2" s="1"/>
  <c r="C4" i="4" s="1"/>
  <c r="C8" i="4" s="1"/>
  <c r="C14" i="4" l="1"/>
  <c r="C13" i="4"/>
</calcChain>
</file>

<file path=xl/sharedStrings.xml><?xml version="1.0" encoding="utf-8"?>
<sst xmlns="http://schemas.openxmlformats.org/spreadsheetml/2006/main" count="111" uniqueCount="90">
  <si>
    <t>ПАРАМЕТРЫ РАСЧЁТА</t>
  </si>
  <si>
    <t>Маржа (% от себестоимости):</t>
  </si>
  <si>
    <t>Рабочих дней в месяце:</t>
  </si>
  <si>
    <t>№</t>
  </si>
  <si>
    <t>Роль</t>
  </si>
  <si>
    <t>Грейд</t>
  </si>
  <si>
    <t>Ставка в сутки, ₽</t>
  </si>
  <si>
    <t>Руководитель проекта (PM)</t>
  </si>
  <si>
    <t>Senior</t>
  </si>
  <si>
    <t>Бизнес-аналитик (BA)</t>
  </si>
  <si>
    <t>Middle+</t>
  </si>
  <si>
    <t>Системный архитектор</t>
  </si>
  <si>
    <t>Backend-разработчик (Java)</t>
  </si>
  <si>
    <t>Frontend-разработчик (React)</t>
  </si>
  <si>
    <t>Middle</t>
  </si>
  <si>
    <t>DevOps / инфраструктура</t>
  </si>
  <si>
    <t>DBA (PostgreSQL)</t>
  </si>
  <si>
    <t>QA-инженер</t>
  </si>
  <si>
    <t>Специалист ИБ</t>
  </si>
  <si>
    <t>Нагрузочное тестирование</t>
  </si>
  <si>
    <t>Инженер поддержки (L1/L2)</t>
  </si>
  <si>
    <t>Junior+</t>
  </si>
  <si>
    <t>Сервис-менеджер</t>
  </si>
  <si>
    <t>Жёлтые — редактируемые | Зелёные — формулы | Оранжевые — маржа</t>
  </si>
  <si>
    <t>РАСЧЁТ СТОИМОСТИ ВНЕДРЕНИЯ</t>
  </si>
  <si>
    <t>Этап / Задача</t>
  </si>
  <si>
    <t>Кол-во чел.</t>
  </si>
  <si>
    <t>Длит-ть этапа (дн)</t>
  </si>
  <si>
    <t>Загрузка (%)</t>
  </si>
  <si>
    <t>Чел-дни</t>
  </si>
  <si>
    <t>Ставка ₽/день</t>
  </si>
  <si>
    <t>Стоимость ₽</t>
  </si>
  <si>
    <t>1. Предпроект и проектирование (1.5 мес)</t>
  </si>
  <si>
    <t>Управление проектом</t>
  </si>
  <si>
    <t>Обследование, сбор требований</t>
  </si>
  <si>
    <t>Проектирование архитектуры</t>
  </si>
  <si>
    <t>Модель угроз, требования ИБ</t>
  </si>
  <si>
    <t>Итого этап</t>
  </si>
  <si>
    <t>2. Инсталляция и настройка (1.5 мес)</t>
  </si>
  <si>
    <t>Развёртывание k8s, инфраструктуры</t>
  </si>
  <si>
    <t>Настройка PostgreSQL HA</t>
  </si>
  <si>
    <t>Настройка сервисов, конфигурация</t>
  </si>
  <si>
    <t>Согласование ИБ, сетевые правила</t>
  </si>
  <si>
    <t>3. Интеграция и кастомизация (2.5 мес)</t>
  </si>
  <si>
    <t>Уточнение требований, приёмка</t>
  </si>
  <si>
    <t>Интеграция AD/LDAP, webhooks</t>
  </si>
  <si>
    <t>Доработка API, справочники</t>
  </si>
  <si>
    <t>Кастомизация дашбордов, отчётов</t>
  </si>
  <si>
    <t>CI/CD, деплой доработок</t>
  </si>
  <si>
    <t>4. Тестирование (1.5 мес)</t>
  </si>
  <si>
    <t>Функциональное, интеграционное</t>
  </si>
  <si>
    <t>Нагрузочное (10K агентов)</t>
  </si>
  <si>
    <t>Исправление дефектов</t>
  </si>
  <si>
    <t>Тестирование ИБ, пентест</t>
  </si>
  <si>
    <t>5. Пилот и раскатка (2.5 мес)</t>
  </si>
  <si>
    <t>Управление, координация, обучение</t>
  </si>
  <si>
    <t>Раскатка агентов (GPO/SCCM)</t>
  </si>
  <si>
    <t>Поддержка пилота</t>
  </si>
  <si>
    <t>Обучение пользователей</t>
  </si>
  <si>
    <t>Исправление замечаний</t>
  </si>
  <si>
    <t>СЕБЕСТОИМОСТЬ ВНЕДРЕНИЯ:</t>
  </si>
  <si>
    <t>МАРЖА:</t>
  </si>
  <si>
    <t>ИТОГО ДЛЯ ЗАКАЗЧИКА:</t>
  </si>
  <si>
    <t>Всего человеко-дней:</t>
  </si>
  <si>
    <t>Всего человеко-месяцев:</t>
  </si>
  <si>
    <t>РАСЧЁТ ГОДОВОГО СОПРОВОЖДЕНИЯ</t>
  </si>
  <si>
    <t>Направление</t>
  </si>
  <si>
    <t>Месяцев</t>
  </si>
  <si>
    <t>Чел-дни/год</t>
  </si>
  <si>
    <t>Стоимость ₽/год</t>
  </si>
  <si>
    <t>L1: приём обращений, переустановка агентов</t>
  </si>
  <si>
    <t>L2: администрирование, политики, мониторинг</t>
  </si>
  <si>
    <t>L3: багфиксы, доработки, обновления</t>
  </si>
  <si>
    <t>DevOps: обновление, мониторинг, бэкапы</t>
  </si>
  <si>
    <t>Сервис-менеджмент, отчётность</t>
  </si>
  <si>
    <t>СЕБЕСТОИМОСТЬ (ГОД):</t>
  </si>
  <si>
    <t>ИТОГО ДЛЯ ЗАКАЗЧИКА (ГОД):</t>
  </si>
  <si>
    <t>Человеко-дней в год:</t>
  </si>
  <si>
    <t>СВОДНАЯ ТАБЛИЦА</t>
  </si>
  <si>
    <t>Статья</t>
  </si>
  <si>
    <t>Себестоимость, ₽</t>
  </si>
  <si>
    <t>Для заказчика, ₽</t>
  </si>
  <si>
    <t>Внедрение (разовое)</t>
  </si>
  <si>
    <t>Сопровождение (год)</t>
  </si>
  <si>
    <t>Лицензия (год) — заполнить вручную</t>
  </si>
  <si>
    <t>ИТОГО 1-й ГОД:</t>
  </si>
  <si>
    <t>2-й год и далее (сопр. + лицензия):</t>
  </si>
  <si>
    <t>Маржа:</t>
  </si>
  <si>
    <t>TCO 3 ГОДА:</t>
  </si>
  <si>
    <t>TCO 5 ЛЕТ: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</si>
</sst>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4"/>
      <color rgb="FF2F549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i/>
      <sz val="9"/>
      <color rgb="FF666666"/>
      <name val="Arial"/>
      <family val="2"/>
    </font>
    <font>
      <b/>
      <sz val="11"/>
      <color rgb="FF2F5496"/>
      <name val="Arial"/>
      <family val="2"/>
    </font>
    <font>
      <b/>
      <sz val="11"/>
      <name val="Arial"/>
      <family val="2"/>
    </font>
    <font>
      <b/>
      <sz val="12"/>
      <color rgb="FFFFFFFF"/>
      <name val="Arial"/>
      <family val="2"/>
    </font>
    <font>
      <b/>
      <sz val="14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B4C6E7"/>
        <bgColor rgb="FFB4C6E7"/>
      </patternFill>
    </fill>
    <fill>
      <patternFill patternType="solid">
        <fgColor rgb="FF7030A0"/>
        <bgColor rgb="FF7030A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9" fontId="2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3" fontId="3" fillId="3" borderId="1" xfId="0" applyNumberFormat="1" applyFont="1" applyFill="1" applyBorder="1" applyAlignment="1">
      <alignment horizontal="center"/>
    </xf>
    <xf numFmtId="0" fontId="5" fillId="0" borderId="0" xfId="0" applyFont="1"/>
    <xf numFmtId="0" fontId="6" fillId="5" borderId="1" xfId="0" applyFont="1" applyFill="1" applyBorder="1"/>
    <xf numFmtId="9" fontId="3" fillId="3" borderId="1" xfId="0" applyNumberFormat="1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3" fontId="3" fillId="6" borderId="1" xfId="0" applyNumberFormat="1" applyFont="1" applyFill="1" applyBorder="1" applyAlignment="1">
      <alignment horizontal="center"/>
    </xf>
    <xf numFmtId="3" fontId="3" fillId="6" borderId="1" xfId="0" applyNumberFormat="1" applyFont="1" applyFill="1" applyBorder="1" applyAlignment="1">
      <alignment horizontal="right"/>
    </xf>
    <xf numFmtId="0" fontId="2" fillId="7" borderId="1" xfId="0" applyFont="1" applyFill="1" applyBorder="1"/>
    <xf numFmtId="164" fontId="2" fillId="7" borderId="1" xfId="0" applyNumberFormat="1" applyFont="1" applyFill="1" applyBorder="1" applyAlignment="1">
      <alignment horizontal="center"/>
    </xf>
    <xf numFmtId="3" fontId="2" fillId="7" borderId="1" xfId="0" applyNumberFormat="1" applyFont="1" applyFill="1" applyBorder="1" applyAlignment="1">
      <alignment horizontal="right"/>
    </xf>
    <xf numFmtId="0" fontId="7" fillId="7" borderId="1" xfId="0" applyFont="1" applyFill="1" applyBorder="1" applyAlignment="1">
      <alignment horizontal="right"/>
    </xf>
    <xf numFmtId="3" fontId="7" fillId="7" borderId="1" xfId="0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0" fontId="8" fillId="4" borderId="1" xfId="0" applyFont="1" applyFill="1" applyBorder="1" applyAlignment="1">
      <alignment horizontal="right"/>
    </xf>
    <xf numFmtId="3" fontId="8" fillId="4" borderId="1" xfId="0" applyNumberFormat="1" applyFont="1" applyFill="1" applyBorder="1" applyAlignment="1">
      <alignment horizontal="right"/>
    </xf>
    <xf numFmtId="164" fontId="2" fillId="6" borderId="1" xfId="0" applyNumberFormat="1" applyFont="1" applyFill="1" applyBorder="1" applyAlignment="1">
      <alignment horizontal="center"/>
    </xf>
    <xf numFmtId="165" fontId="2" fillId="6" borderId="1" xfId="0" applyNumberFormat="1" applyFont="1" applyFill="1" applyBorder="1" applyAlignment="1">
      <alignment horizontal="center"/>
    </xf>
    <xf numFmtId="0" fontId="3" fillId="0" borderId="1" xfId="0" applyFont="1" applyBorder="1"/>
    <xf numFmtId="3" fontId="3" fillId="3" borderId="1" xfId="0" applyNumberFormat="1" applyFont="1" applyFill="1" applyBorder="1" applyAlignment="1">
      <alignment horizontal="right"/>
    </xf>
    <xf numFmtId="0" fontId="2" fillId="0" borderId="0" xfId="0" applyFont="1"/>
    <xf numFmtId="9" fontId="2" fillId="0" borderId="1" xfId="0" applyNumberFormat="1" applyFont="1" applyBorder="1"/>
    <xf numFmtId="3" fontId="9" fillId="8" borderId="1" xfId="0" applyNumberFormat="1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/>
    <xf numFmtId="0" fontId="2" fillId="0" borderId="0" xfId="0" applyFont="1" applyAlignment="1">
      <alignment horizontal="right"/>
    </xf>
    <xf numFmtId="0" fontId="8" fillId="4" borderId="1" xfId="0" applyFont="1" applyFill="1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7" fillId="7" borderId="1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0" fontId="9" fillId="8" borderId="1" xfId="0" applyFont="1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A1:D20"/>
  <sheetViews>
    <sheetView tabSelected="1" workbookViewId="0">
      <selection activeCell="C34" sqref="C34"/>
    </sheetView>
  </sheetViews>
  <sheetFormatPr baseColWidth="10" defaultColWidth="8.83203125" defaultRowHeight="15" x14ac:dyDescent="0.2"/>
  <cols>
    <col min="1" max="1" width="5" customWidth="1"/>
    <col min="2" max="2" width="38" customWidth="1"/>
    <col min="3" max="3" width="14" customWidth="1"/>
    <col min="4" max="4" width="22" customWidth="1"/>
  </cols>
  <sheetData>
    <row r="1" spans="1:4" ht="18" x14ac:dyDescent="0.2">
      <c r="A1" s="28" t="s">
        <v>0</v>
      </c>
      <c r="B1" s="29"/>
      <c r="C1" s="29"/>
      <c r="D1" s="29"/>
    </row>
    <row r="3" spans="1:4" x14ac:dyDescent="0.2">
      <c r="A3" s="31" t="s">
        <v>1</v>
      </c>
      <c r="B3" s="32"/>
      <c r="C3" s="32"/>
      <c r="D3" s="1">
        <v>0.35</v>
      </c>
    </row>
    <row r="4" spans="1:4" x14ac:dyDescent="0.2">
      <c r="A4" s="30" t="s">
        <v>2</v>
      </c>
      <c r="B4" s="29"/>
      <c r="C4" s="29"/>
      <c r="D4" s="2">
        <v>22</v>
      </c>
    </row>
    <row r="6" spans="1:4" x14ac:dyDescent="0.2">
      <c r="A6" s="3" t="s">
        <v>3</v>
      </c>
      <c r="B6" s="3" t="s">
        <v>4</v>
      </c>
      <c r="C6" s="3" t="s">
        <v>5</v>
      </c>
      <c r="D6" s="3" t="s">
        <v>6</v>
      </c>
    </row>
    <row r="7" spans="1:4" x14ac:dyDescent="0.2">
      <c r="A7" s="4">
        <v>1</v>
      </c>
      <c r="B7" s="5" t="s">
        <v>7</v>
      </c>
      <c r="C7" s="4" t="s">
        <v>8</v>
      </c>
      <c r="D7" s="6">
        <v>40000</v>
      </c>
    </row>
    <row r="8" spans="1:4" x14ac:dyDescent="0.2">
      <c r="A8" s="4">
        <v>2</v>
      </c>
      <c r="B8" s="5" t="s">
        <v>9</v>
      </c>
      <c r="C8" s="4" t="s">
        <v>10</v>
      </c>
      <c r="D8" s="6">
        <v>25000</v>
      </c>
    </row>
    <row r="9" spans="1:4" x14ac:dyDescent="0.2">
      <c r="A9" s="4">
        <v>3</v>
      </c>
      <c r="B9" s="5" t="s">
        <v>11</v>
      </c>
      <c r="C9" s="4" t="s">
        <v>8</v>
      </c>
      <c r="D9" s="6">
        <v>45000</v>
      </c>
    </row>
    <row r="10" spans="1:4" x14ac:dyDescent="0.2">
      <c r="A10" s="4">
        <v>4</v>
      </c>
      <c r="B10" s="5" t="s">
        <v>12</v>
      </c>
      <c r="C10" s="4" t="s">
        <v>10</v>
      </c>
      <c r="D10" s="6">
        <v>35000</v>
      </c>
    </row>
    <row r="11" spans="1:4" x14ac:dyDescent="0.2">
      <c r="A11" s="4">
        <v>5</v>
      </c>
      <c r="B11" s="5" t="s">
        <v>13</v>
      </c>
      <c r="C11" s="4" t="s">
        <v>14</v>
      </c>
      <c r="D11" s="6">
        <v>30000</v>
      </c>
    </row>
    <row r="12" spans="1:4" x14ac:dyDescent="0.2">
      <c r="A12" s="4">
        <v>6</v>
      </c>
      <c r="B12" s="5" t="s">
        <v>15</v>
      </c>
      <c r="C12" s="4" t="s">
        <v>10</v>
      </c>
      <c r="D12" s="6">
        <v>40000</v>
      </c>
    </row>
    <row r="13" spans="1:4" x14ac:dyDescent="0.2">
      <c r="A13" s="4">
        <v>7</v>
      </c>
      <c r="B13" s="5" t="s">
        <v>16</v>
      </c>
      <c r="C13" s="4" t="s">
        <v>14</v>
      </c>
      <c r="D13" s="6">
        <v>35000</v>
      </c>
    </row>
    <row r="14" spans="1:4" x14ac:dyDescent="0.2">
      <c r="A14" s="4">
        <v>8</v>
      </c>
      <c r="B14" s="5" t="s">
        <v>17</v>
      </c>
      <c r="C14" s="4" t="s">
        <v>14</v>
      </c>
      <c r="D14" s="6">
        <v>25000</v>
      </c>
    </row>
    <row r="15" spans="1:4" x14ac:dyDescent="0.2">
      <c r="A15" s="4">
        <v>9</v>
      </c>
      <c r="B15" s="5" t="s">
        <v>18</v>
      </c>
      <c r="C15" s="4" t="s">
        <v>10</v>
      </c>
      <c r="D15" s="6">
        <v>25000</v>
      </c>
    </row>
    <row r="16" spans="1:4" x14ac:dyDescent="0.2">
      <c r="A16" s="4">
        <v>10</v>
      </c>
      <c r="B16" s="5" t="s">
        <v>19</v>
      </c>
      <c r="C16" s="4" t="s">
        <v>14</v>
      </c>
      <c r="D16" s="6">
        <v>25000</v>
      </c>
    </row>
    <row r="17" spans="1:4" x14ac:dyDescent="0.2">
      <c r="A17" s="4">
        <v>11</v>
      </c>
      <c r="B17" s="5" t="s">
        <v>20</v>
      </c>
      <c r="C17" s="4" t="s">
        <v>21</v>
      </c>
      <c r="D17" s="6">
        <v>15000</v>
      </c>
    </row>
    <row r="18" spans="1:4" x14ac:dyDescent="0.2">
      <c r="A18" s="4">
        <v>12</v>
      </c>
      <c r="B18" s="5" t="s">
        <v>22</v>
      </c>
      <c r="C18" s="4" t="s">
        <v>14</v>
      </c>
      <c r="D18" s="6">
        <v>15000</v>
      </c>
    </row>
    <row r="20" spans="1:4" x14ac:dyDescent="0.2">
      <c r="A20" s="7" t="s">
        <v>23</v>
      </c>
    </row>
  </sheetData>
  <mergeCells count="3">
    <mergeCell ref="A1:D1"/>
    <mergeCell ref="A4:C4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</sheetPr>
  <dimension ref="A1:H50"/>
  <sheetViews>
    <sheetView topLeftCell="A3" workbookViewId="0">
      <selection sqref="A1:H1"/>
    </sheetView>
  </sheetViews>
  <sheetFormatPr baseColWidth="10" defaultColWidth="8.83203125" defaultRowHeight="15" x14ac:dyDescent="0.2"/>
  <cols>
    <col min="1" max="1" width="40" customWidth="1"/>
    <col min="2" max="2" width="34" customWidth="1"/>
    <col min="3" max="3" width="12" customWidth="1"/>
    <col min="4" max="4" width="16" customWidth="1"/>
    <col min="5" max="6" width="12" customWidth="1"/>
    <col min="7" max="7" width="14" customWidth="1"/>
    <col min="8" max="8" width="18" customWidth="1"/>
  </cols>
  <sheetData>
    <row r="1" spans="1:8" ht="18" x14ac:dyDescent="0.2">
      <c r="A1" s="28" t="s">
        <v>24</v>
      </c>
      <c r="B1" s="29"/>
      <c r="C1" s="29"/>
      <c r="D1" s="29"/>
      <c r="E1" s="29"/>
      <c r="F1" s="29"/>
      <c r="G1" s="29"/>
      <c r="H1" s="29"/>
    </row>
    <row r="3" spans="1:8" ht="30" x14ac:dyDescent="0.2">
      <c r="A3" s="3" t="s">
        <v>25</v>
      </c>
      <c r="B3" s="3" t="s">
        <v>4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</row>
    <row r="4" spans="1:8" x14ac:dyDescent="0.2">
      <c r="A4" s="8" t="s">
        <v>32</v>
      </c>
      <c r="B4" s="8"/>
      <c r="C4" s="8"/>
      <c r="D4" s="8"/>
      <c r="E4" s="8"/>
      <c r="F4" s="8"/>
      <c r="G4" s="8"/>
      <c r="H4" s="8"/>
    </row>
    <row r="5" spans="1:8" x14ac:dyDescent="0.2">
      <c r="A5" s="5" t="s">
        <v>33</v>
      </c>
      <c r="B5" s="5" t="str">
        <f>Параметры!B7</f>
        <v>Руководитель проекта (PM)</v>
      </c>
      <c r="C5" s="2">
        <v>1</v>
      </c>
      <c r="D5" s="2">
        <v>33</v>
      </c>
      <c r="E5" s="9">
        <v>1</v>
      </c>
      <c r="F5" s="10">
        <f>C5*D5*E5</f>
        <v>33</v>
      </c>
      <c r="G5" s="11">
        <f>Параметры!D7</f>
        <v>40000</v>
      </c>
      <c r="H5" s="12">
        <f>F5*G5</f>
        <v>1320000</v>
      </c>
    </row>
    <row r="6" spans="1:8" x14ac:dyDescent="0.2">
      <c r="A6" s="5" t="s">
        <v>34</v>
      </c>
      <c r="B6" s="5" t="str">
        <f>Параметры!B8</f>
        <v>Бизнес-аналитик (BA)</v>
      </c>
      <c r="C6" s="2">
        <v>1</v>
      </c>
      <c r="D6" s="2">
        <v>33</v>
      </c>
      <c r="E6" s="9">
        <v>1</v>
      </c>
      <c r="F6" s="10">
        <f>C6*D6*E6</f>
        <v>33</v>
      </c>
      <c r="G6" s="11">
        <f>Параметры!D8</f>
        <v>25000</v>
      </c>
      <c r="H6" s="12">
        <f>F6*G6</f>
        <v>825000</v>
      </c>
    </row>
    <row r="7" spans="1:8" x14ac:dyDescent="0.2">
      <c r="A7" s="5" t="s">
        <v>35</v>
      </c>
      <c r="B7" s="5" t="str">
        <f>Параметры!B9</f>
        <v>Системный архитектор</v>
      </c>
      <c r="C7" s="2">
        <v>1</v>
      </c>
      <c r="D7" s="2">
        <v>33</v>
      </c>
      <c r="E7" s="9">
        <v>0.5</v>
      </c>
      <c r="F7" s="10">
        <f>C7*D7*E7</f>
        <v>16.5</v>
      </c>
      <c r="G7" s="11">
        <f>Параметры!D9</f>
        <v>45000</v>
      </c>
      <c r="H7" s="12">
        <f>F7*G7</f>
        <v>742500</v>
      </c>
    </row>
    <row r="8" spans="1:8" x14ac:dyDescent="0.2">
      <c r="A8" s="5" t="s">
        <v>36</v>
      </c>
      <c r="B8" s="5" t="str">
        <f>Параметры!B15</f>
        <v>Специалист ИБ</v>
      </c>
      <c r="C8" s="2">
        <v>1</v>
      </c>
      <c r="D8" s="2">
        <v>33</v>
      </c>
      <c r="E8" s="9">
        <v>0.3</v>
      </c>
      <c r="F8" s="10">
        <f>C8*D8*E8</f>
        <v>9.9</v>
      </c>
      <c r="G8" s="11">
        <f>Параметры!D15</f>
        <v>25000</v>
      </c>
      <c r="H8" s="12">
        <f>F8*G8</f>
        <v>247500</v>
      </c>
    </row>
    <row r="9" spans="1:8" x14ac:dyDescent="0.2">
      <c r="A9" s="13" t="s">
        <v>37</v>
      </c>
      <c r="B9" s="13"/>
      <c r="C9" s="13"/>
      <c r="D9" s="13"/>
      <c r="E9" s="13"/>
      <c r="F9" s="14">
        <f>SUM(F5:F8)</f>
        <v>92.4</v>
      </c>
      <c r="G9" s="13"/>
      <c r="H9" s="15">
        <f>SUM(H5:H8)</f>
        <v>3135000</v>
      </c>
    </row>
    <row r="11" spans="1:8" x14ac:dyDescent="0.2">
      <c r="A11" s="8" t="s">
        <v>38</v>
      </c>
      <c r="B11" s="8"/>
      <c r="C11" s="8"/>
      <c r="D11" s="8"/>
      <c r="E11" s="8"/>
      <c r="F11" s="8"/>
      <c r="G11" s="8"/>
      <c r="H11" s="8"/>
    </row>
    <row r="12" spans="1:8" x14ac:dyDescent="0.2">
      <c r="A12" s="5" t="s">
        <v>33</v>
      </c>
      <c r="B12" s="5" t="str">
        <f>Параметры!B7</f>
        <v>Руководитель проекта (PM)</v>
      </c>
      <c r="C12" s="2">
        <v>1</v>
      </c>
      <c r="D12" s="2">
        <v>28</v>
      </c>
      <c r="E12" s="9">
        <v>0.5</v>
      </c>
      <c r="F12" s="10">
        <f>C12*D12*E12</f>
        <v>14</v>
      </c>
      <c r="G12" s="11">
        <f>Параметры!D7</f>
        <v>40000</v>
      </c>
      <c r="H12" s="12">
        <f>F12*G12</f>
        <v>560000</v>
      </c>
    </row>
    <row r="13" spans="1:8" x14ac:dyDescent="0.2">
      <c r="A13" s="5" t="s">
        <v>39</v>
      </c>
      <c r="B13" s="5" t="str">
        <f>Параметры!B12</f>
        <v>DevOps / инфраструктура</v>
      </c>
      <c r="C13" s="2">
        <v>1</v>
      </c>
      <c r="D13" s="2">
        <v>28</v>
      </c>
      <c r="E13" s="9">
        <v>1</v>
      </c>
      <c r="F13" s="10">
        <f>C13*D13*E13</f>
        <v>28</v>
      </c>
      <c r="G13" s="11">
        <f>Параметры!D12</f>
        <v>40000</v>
      </c>
      <c r="H13" s="12">
        <f>F13*G13</f>
        <v>1120000</v>
      </c>
    </row>
    <row r="14" spans="1:8" x14ac:dyDescent="0.2">
      <c r="A14" s="5" t="s">
        <v>40</v>
      </c>
      <c r="B14" s="5" t="str">
        <f>Параметры!B13</f>
        <v>DBA (PostgreSQL)</v>
      </c>
      <c r="C14" s="2">
        <v>1</v>
      </c>
      <c r="D14" s="2">
        <v>28</v>
      </c>
      <c r="E14" s="9">
        <v>0.5</v>
      </c>
      <c r="F14" s="10">
        <f>C14*D14*E14</f>
        <v>14</v>
      </c>
      <c r="G14" s="11">
        <f>Параметры!D13</f>
        <v>35000</v>
      </c>
      <c r="H14" s="12">
        <f>F14*G14</f>
        <v>490000</v>
      </c>
    </row>
    <row r="15" spans="1:8" x14ac:dyDescent="0.2">
      <c r="A15" s="5" t="s">
        <v>41</v>
      </c>
      <c r="B15" s="5" t="str">
        <f>Параметры!B10</f>
        <v>Backend-разработчик (Java)</v>
      </c>
      <c r="C15" s="2">
        <v>1</v>
      </c>
      <c r="D15" s="2">
        <v>28</v>
      </c>
      <c r="E15" s="9">
        <v>0.5</v>
      </c>
      <c r="F15" s="10">
        <f>C15*D15*E15</f>
        <v>14</v>
      </c>
      <c r="G15" s="11">
        <f>Параметры!D10</f>
        <v>35000</v>
      </c>
      <c r="H15" s="12">
        <f>F15*G15</f>
        <v>490000</v>
      </c>
    </row>
    <row r="16" spans="1:8" x14ac:dyDescent="0.2">
      <c r="A16" s="5" t="s">
        <v>42</v>
      </c>
      <c r="B16" s="5" t="str">
        <f>Параметры!B15</f>
        <v>Специалист ИБ</v>
      </c>
      <c r="C16" s="2">
        <v>1</v>
      </c>
      <c r="D16" s="2">
        <v>28</v>
      </c>
      <c r="E16" s="9">
        <v>0.2</v>
      </c>
      <c r="F16" s="10">
        <f>C16*D16*E16</f>
        <v>5.6000000000000005</v>
      </c>
      <c r="G16" s="11">
        <f>Параметры!D15</f>
        <v>25000</v>
      </c>
      <c r="H16" s="12">
        <f>F16*G16</f>
        <v>140000</v>
      </c>
    </row>
    <row r="17" spans="1:8" x14ac:dyDescent="0.2">
      <c r="A17" s="13" t="s">
        <v>37</v>
      </c>
      <c r="B17" s="13"/>
      <c r="C17" s="13"/>
      <c r="D17" s="13"/>
      <c r="E17" s="13"/>
      <c r="F17" s="14">
        <f>SUM(F12:F16)</f>
        <v>75.599999999999994</v>
      </c>
      <c r="G17" s="13"/>
      <c r="H17" s="15">
        <f>SUM(H12:H16)</f>
        <v>2800000</v>
      </c>
    </row>
    <row r="19" spans="1:8" x14ac:dyDescent="0.2">
      <c r="A19" s="8" t="s">
        <v>43</v>
      </c>
      <c r="B19" s="8"/>
      <c r="C19" s="8"/>
      <c r="D19" s="8"/>
      <c r="E19" s="8"/>
      <c r="F19" s="8"/>
      <c r="G19" s="8"/>
      <c r="H19" s="8"/>
    </row>
    <row r="20" spans="1:8" x14ac:dyDescent="0.2">
      <c r="A20" s="5" t="s">
        <v>33</v>
      </c>
      <c r="B20" s="5" t="str">
        <f>Параметры!B7</f>
        <v>Руководитель проекта (PM)</v>
      </c>
      <c r="C20" s="2">
        <v>1</v>
      </c>
      <c r="D20" s="2">
        <v>55</v>
      </c>
      <c r="E20" s="9">
        <v>0.5</v>
      </c>
      <c r="F20" s="10">
        <f t="shared" ref="F20:F25" si="0">C20*D20*E20</f>
        <v>27.5</v>
      </c>
      <c r="G20" s="11">
        <f>Параметры!D7</f>
        <v>40000</v>
      </c>
      <c r="H20" s="12">
        <f t="shared" ref="H20:H25" si="1">F20*G20</f>
        <v>1100000</v>
      </c>
    </row>
    <row r="21" spans="1:8" x14ac:dyDescent="0.2">
      <c r="A21" s="5" t="s">
        <v>44</v>
      </c>
      <c r="B21" s="5" t="str">
        <f>Параметры!B8</f>
        <v>Бизнес-аналитик (BA)</v>
      </c>
      <c r="C21" s="2">
        <v>1</v>
      </c>
      <c r="D21" s="2">
        <v>55</v>
      </c>
      <c r="E21" s="9">
        <v>0.5</v>
      </c>
      <c r="F21" s="10">
        <f t="shared" si="0"/>
        <v>27.5</v>
      </c>
      <c r="G21" s="11">
        <f>Параметры!D8</f>
        <v>25000</v>
      </c>
      <c r="H21" s="12">
        <f t="shared" si="1"/>
        <v>687500</v>
      </c>
    </row>
    <row r="22" spans="1:8" x14ac:dyDescent="0.2">
      <c r="A22" s="5" t="s">
        <v>45</v>
      </c>
      <c r="B22" s="5" t="str">
        <f>Параметры!B10</f>
        <v>Backend-разработчик (Java)</v>
      </c>
      <c r="C22" s="2">
        <v>1</v>
      </c>
      <c r="D22" s="2">
        <v>55</v>
      </c>
      <c r="E22" s="9">
        <v>1</v>
      </c>
      <c r="F22" s="10">
        <f t="shared" si="0"/>
        <v>55</v>
      </c>
      <c r="G22" s="11">
        <f>Параметры!D10</f>
        <v>35000</v>
      </c>
      <c r="H22" s="12">
        <f t="shared" si="1"/>
        <v>1925000</v>
      </c>
    </row>
    <row r="23" spans="1:8" x14ac:dyDescent="0.2">
      <c r="A23" s="5" t="s">
        <v>46</v>
      </c>
      <c r="B23" s="5" t="str">
        <f>Параметры!B10</f>
        <v>Backend-разработчик (Java)</v>
      </c>
      <c r="C23" s="2">
        <v>1</v>
      </c>
      <c r="D23" s="2">
        <v>55</v>
      </c>
      <c r="E23" s="9">
        <v>1</v>
      </c>
      <c r="F23" s="10">
        <f t="shared" si="0"/>
        <v>55</v>
      </c>
      <c r="G23" s="11">
        <f>Параметры!D10</f>
        <v>35000</v>
      </c>
      <c r="H23" s="12">
        <f t="shared" si="1"/>
        <v>1925000</v>
      </c>
    </row>
    <row r="24" spans="1:8" x14ac:dyDescent="0.2">
      <c r="A24" s="5" t="s">
        <v>47</v>
      </c>
      <c r="B24" s="5" t="str">
        <f>Параметры!B11</f>
        <v>Frontend-разработчик (React)</v>
      </c>
      <c r="C24" s="2">
        <v>1</v>
      </c>
      <c r="D24" s="2">
        <v>55</v>
      </c>
      <c r="E24" s="9">
        <v>1</v>
      </c>
      <c r="F24" s="10">
        <f t="shared" si="0"/>
        <v>55</v>
      </c>
      <c r="G24" s="11">
        <f>Параметры!D11</f>
        <v>30000</v>
      </c>
      <c r="H24" s="12">
        <f t="shared" si="1"/>
        <v>1650000</v>
      </c>
    </row>
    <row r="25" spans="1:8" x14ac:dyDescent="0.2">
      <c r="A25" s="5" t="s">
        <v>48</v>
      </c>
      <c r="B25" s="5" t="str">
        <f>Параметры!B12</f>
        <v>DevOps / инфраструктура</v>
      </c>
      <c r="C25" s="2">
        <v>1</v>
      </c>
      <c r="D25" s="2">
        <v>55</v>
      </c>
      <c r="E25" s="9">
        <v>0.3</v>
      </c>
      <c r="F25" s="10">
        <f t="shared" si="0"/>
        <v>16.5</v>
      </c>
      <c r="G25" s="11">
        <f>Параметры!D12</f>
        <v>40000</v>
      </c>
      <c r="H25" s="12">
        <f t="shared" si="1"/>
        <v>660000</v>
      </c>
    </row>
    <row r="26" spans="1:8" x14ac:dyDescent="0.2">
      <c r="A26" s="13" t="s">
        <v>37</v>
      </c>
      <c r="B26" s="13"/>
      <c r="C26" s="13"/>
      <c r="D26" s="13"/>
      <c r="E26" s="13"/>
      <c r="F26" s="14">
        <f>SUM(F20:F25)</f>
        <v>236.5</v>
      </c>
      <c r="G26" s="13"/>
      <c r="H26" s="15">
        <f>SUM(H20:H25)</f>
        <v>7947500</v>
      </c>
    </row>
    <row r="28" spans="1:8" x14ac:dyDescent="0.2">
      <c r="A28" s="8" t="s">
        <v>49</v>
      </c>
      <c r="B28" s="8"/>
      <c r="C28" s="8"/>
      <c r="D28" s="8"/>
      <c r="E28" s="8"/>
      <c r="F28" s="8"/>
      <c r="G28" s="8"/>
      <c r="H28" s="8"/>
    </row>
    <row r="29" spans="1:8" x14ac:dyDescent="0.2">
      <c r="A29" s="5" t="s">
        <v>33</v>
      </c>
      <c r="B29" s="5" t="str">
        <f>Параметры!B7</f>
        <v>Руководитель проекта (PM)</v>
      </c>
      <c r="C29" s="2">
        <v>1</v>
      </c>
      <c r="D29" s="2">
        <v>28</v>
      </c>
      <c r="E29" s="9">
        <v>0.3</v>
      </c>
      <c r="F29" s="10">
        <f>C29*D29*E29</f>
        <v>8.4</v>
      </c>
      <c r="G29" s="11">
        <f>Параметры!D7</f>
        <v>40000</v>
      </c>
      <c r="H29" s="12">
        <f>F29*G29</f>
        <v>336000</v>
      </c>
    </row>
    <row r="30" spans="1:8" x14ac:dyDescent="0.2">
      <c r="A30" s="5" t="s">
        <v>50</v>
      </c>
      <c r="B30" s="5" t="str">
        <f>Параметры!B14</f>
        <v>QA-инженер</v>
      </c>
      <c r="C30" s="2">
        <v>1</v>
      </c>
      <c r="D30" s="2">
        <v>28</v>
      </c>
      <c r="E30" s="9">
        <v>1</v>
      </c>
      <c r="F30" s="10">
        <f>C30*D30*E30</f>
        <v>28</v>
      </c>
      <c r="G30" s="11">
        <f>Параметры!D14</f>
        <v>25000</v>
      </c>
      <c r="H30" s="12">
        <f>F30*G30</f>
        <v>700000</v>
      </c>
    </row>
    <row r="31" spans="1:8" x14ac:dyDescent="0.2">
      <c r="A31" s="5" t="s">
        <v>51</v>
      </c>
      <c r="B31" s="5" t="str">
        <f>Параметры!B16</f>
        <v>Нагрузочное тестирование</v>
      </c>
      <c r="C31" s="2">
        <v>1</v>
      </c>
      <c r="D31" s="2">
        <v>28</v>
      </c>
      <c r="E31" s="9">
        <v>0.5</v>
      </c>
      <c r="F31" s="10">
        <f>C31*D31*E31</f>
        <v>14</v>
      </c>
      <c r="G31" s="11">
        <f>Параметры!D16</f>
        <v>25000</v>
      </c>
      <c r="H31" s="12">
        <f>F31*G31</f>
        <v>350000</v>
      </c>
    </row>
    <row r="32" spans="1:8" x14ac:dyDescent="0.2">
      <c r="A32" s="5" t="s">
        <v>52</v>
      </c>
      <c r="B32" s="5" t="str">
        <f>Параметры!B10</f>
        <v>Backend-разработчик (Java)</v>
      </c>
      <c r="C32" s="2">
        <v>1</v>
      </c>
      <c r="D32" s="2">
        <v>28</v>
      </c>
      <c r="E32" s="9">
        <v>0.5</v>
      </c>
      <c r="F32" s="10">
        <f>C32*D32*E32</f>
        <v>14</v>
      </c>
      <c r="G32" s="11">
        <f>Параметры!D10</f>
        <v>35000</v>
      </c>
      <c r="H32" s="12">
        <f>F32*G32</f>
        <v>490000</v>
      </c>
    </row>
    <row r="33" spans="1:8" x14ac:dyDescent="0.2">
      <c r="A33" s="5" t="s">
        <v>53</v>
      </c>
      <c r="B33" s="5" t="str">
        <f>Параметры!B15</f>
        <v>Специалист ИБ</v>
      </c>
      <c r="C33" s="2">
        <v>1</v>
      </c>
      <c r="D33" s="2">
        <v>28</v>
      </c>
      <c r="E33" s="9">
        <v>0.5</v>
      </c>
      <c r="F33" s="10">
        <f>C33*D33*E33</f>
        <v>14</v>
      </c>
      <c r="G33" s="11">
        <f>Параметры!D15</f>
        <v>25000</v>
      </c>
      <c r="H33" s="12">
        <f>F33*G33</f>
        <v>350000</v>
      </c>
    </row>
    <row r="34" spans="1:8" x14ac:dyDescent="0.2">
      <c r="A34" s="13" t="s">
        <v>37</v>
      </c>
      <c r="B34" s="13"/>
      <c r="C34" s="13"/>
      <c r="D34" s="13"/>
      <c r="E34" s="13"/>
      <c r="F34" s="14">
        <f>SUM(F29:F33)</f>
        <v>78.400000000000006</v>
      </c>
      <c r="G34" s="13"/>
      <c r="H34" s="15">
        <f>SUM(H29:H33)</f>
        <v>2226000</v>
      </c>
    </row>
    <row r="36" spans="1:8" x14ac:dyDescent="0.2">
      <c r="A36" s="8" t="s">
        <v>54</v>
      </c>
      <c r="B36" s="8"/>
      <c r="C36" s="8"/>
      <c r="D36" s="8"/>
      <c r="E36" s="8"/>
      <c r="F36" s="8"/>
      <c r="G36" s="8"/>
      <c r="H36" s="8"/>
    </row>
    <row r="37" spans="1:8" x14ac:dyDescent="0.2">
      <c r="A37" s="5" t="s">
        <v>55</v>
      </c>
      <c r="B37" s="5" t="str">
        <f>Параметры!B7</f>
        <v>Руководитель проекта (PM)</v>
      </c>
      <c r="C37" s="2">
        <v>1</v>
      </c>
      <c r="D37" s="2">
        <v>55</v>
      </c>
      <c r="E37" s="9">
        <v>1</v>
      </c>
      <c r="F37" s="10">
        <f>C37*D37*E37</f>
        <v>55</v>
      </c>
      <c r="G37" s="11">
        <f>Параметры!D7</f>
        <v>40000</v>
      </c>
      <c r="H37" s="12">
        <f>F37*G37</f>
        <v>2200000</v>
      </c>
    </row>
    <row r="38" spans="1:8" x14ac:dyDescent="0.2">
      <c r="A38" s="5" t="s">
        <v>56</v>
      </c>
      <c r="B38" s="5" t="str">
        <f>Параметры!B12</f>
        <v>DevOps / инфраструктура</v>
      </c>
      <c r="C38" s="2">
        <v>1</v>
      </c>
      <c r="D38" s="2">
        <v>55</v>
      </c>
      <c r="E38" s="9">
        <v>0.5</v>
      </c>
      <c r="F38" s="10">
        <f>C38*D38*E38</f>
        <v>27.5</v>
      </c>
      <c r="G38" s="11">
        <f>Параметры!D12</f>
        <v>40000</v>
      </c>
      <c r="H38" s="12">
        <f>F38*G38</f>
        <v>1100000</v>
      </c>
    </row>
    <row r="39" spans="1:8" x14ac:dyDescent="0.2">
      <c r="A39" s="5" t="s">
        <v>57</v>
      </c>
      <c r="B39" s="5" t="str">
        <f>Параметры!B17</f>
        <v>Инженер поддержки (L1/L2)</v>
      </c>
      <c r="C39" s="2">
        <v>1</v>
      </c>
      <c r="D39" s="2">
        <v>55</v>
      </c>
      <c r="E39" s="9">
        <v>1</v>
      </c>
      <c r="F39" s="10">
        <f>C39*D39*E39</f>
        <v>55</v>
      </c>
      <c r="G39" s="11">
        <f>Параметры!D17</f>
        <v>15000</v>
      </c>
      <c r="H39" s="12">
        <f>F39*G39</f>
        <v>825000</v>
      </c>
    </row>
    <row r="40" spans="1:8" x14ac:dyDescent="0.2">
      <c r="A40" s="5" t="s">
        <v>58</v>
      </c>
      <c r="B40" s="5" t="str">
        <f>Параметры!B8</f>
        <v>Бизнес-аналитик (BA)</v>
      </c>
      <c r="C40" s="2">
        <v>1</v>
      </c>
      <c r="D40" s="2">
        <v>55</v>
      </c>
      <c r="E40" s="9">
        <v>0.5</v>
      </c>
      <c r="F40" s="10">
        <f>C40*D40*E40</f>
        <v>27.5</v>
      </c>
      <c r="G40" s="11">
        <f>Параметры!D8</f>
        <v>25000</v>
      </c>
      <c r="H40" s="12">
        <f>F40*G40</f>
        <v>687500</v>
      </c>
    </row>
    <row r="41" spans="1:8" x14ac:dyDescent="0.2">
      <c r="A41" s="5" t="s">
        <v>59</v>
      </c>
      <c r="B41" s="5" t="str">
        <f>Параметры!B10</f>
        <v>Backend-разработчик (Java)</v>
      </c>
      <c r="C41" s="2">
        <v>1</v>
      </c>
      <c r="D41" s="2">
        <v>55</v>
      </c>
      <c r="E41" s="9">
        <v>0.3</v>
      </c>
      <c r="F41" s="10">
        <f>C41*D41*E41</f>
        <v>16.5</v>
      </c>
      <c r="G41" s="11">
        <f>Параметры!D10</f>
        <v>35000</v>
      </c>
      <c r="H41" s="12">
        <f>F41*G41</f>
        <v>577500</v>
      </c>
    </row>
    <row r="42" spans="1:8" x14ac:dyDescent="0.2">
      <c r="A42" s="13" t="s">
        <v>37</v>
      </c>
      <c r="B42" s="13"/>
      <c r="C42" s="13"/>
      <c r="D42" s="13"/>
      <c r="E42" s="13"/>
      <c r="F42" s="14">
        <f>SUM(F37:F41)</f>
        <v>181.5</v>
      </c>
      <c r="G42" s="13"/>
      <c r="H42" s="15">
        <f>SUM(H37:H41)</f>
        <v>5390000</v>
      </c>
    </row>
    <row r="45" spans="1:8" x14ac:dyDescent="0.2">
      <c r="A45" s="37" t="s">
        <v>60</v>
      </c>
      <c r="B45" s="35"/>
      <c r="C45" s="35"/>
      <c r="D45" s="35"/>
      <c r="E45" s="35"/>
      <c r="F45" s="35"/>
      <c r="G45" s="36"/>
      <c r="H45" s="17">
        <f>H9+H17+H26+H34+H42</f>
        <v>21498500</v>
      </c>
    </row>
    <row r="46" spans="1:8" x14ac:dyDescent="0.2">
      <c r="A46" s="38" t="s">
        <v>61</v>
      </c>
      <c r="B46" s="35"/>
      <c r="C46" s="35"/>
      <c r="D46" s="35"/>
      <c r="E46" s="35"/>
      <c r="F46" s="35"/>
      <c r="G46" s="36"/>
      <c r="H46" s="18">
        <f>H45*Параметры!D3</f>
        <v>7524474.9999999991</v>
      </c>
    </row>
    <row r="47" spans="1:8" ht="16" x14ac:dyDescent="0.2">
      <c r="A47" s="34" t="s">
        <v>62</v>
      </c>
      <c r="B47" s="35"/>
      <c r="C47" s="35"/>
      <c r="D47" s="35"/>
      <c r="E47" s="35"/>
      <c r="F47" s="35"/>
      <c r="G47" s="36"/>
      <c r="H47" s="20">
        <f>H45+H46</f>
        <v>29022975</v>
      </c>
    </row>
    <row r="49" spans="1:6" x14ac:dyDescent="0.2">
      <c r="A49" s="33" t="s">
        <v>63</v>
      </c>
      <c r="B49" s="29"/>
      <c r="C49" s="29"/>
      <c r="D49" s="29"/>
      <c r="E49" s="29"/>
      <c r="F49" s="21">
        <f>F9+F17+F26+F34+F42</f>
        <v>664.4</v>
      </c>
    </row>
    <row r="50" spans="1:6" x14ac:dyDescent="0.2">
      <c r="A50" s="33" t="s">
        <v>64</v>
      </c>
      <c r="B50" s="29"/>
      <c r="C50" s="29"/>
      <c r="D50" s="29"/>
      <c r="E50" s="29"/>
      <c r="F50" s="22">
        <f>F49/Параметры!D4</f>
        <v>30.2</v>
      </c>
    </row>
  </sheetData>
  <mergeCells count="6">
    <mergeCell ref="A50:E50"/>
    <mergeCell ref="A49:E49"/>
    <mergeCell ref="A1:H1"/>
    <mergeCell ref="A47:G47"/>
    <mergeCell ref="A45:G45"/>
    <mergeCell ref="A46:G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65911"/>
  </sheetPr>
  <dimension ref="A1:H14"/>
  <sheetViews>
    <sheetView workbookViewId="0">
      <selection sqref="A1:H1"/>
    </sheetView>
  </sheetViews>
  <sheetFormatPr baseColWidth="10" defaultColWidth="8.83203125" defaultRowHeight="15" x14ac:dyDescent="0.2"/>
  <cols>
    <col min="1" max="1" width="44" customWidth="1"/>
    <col min="2" max="2" width="34" customWidth="1"/>
    <col min="3" max="5" width="12" customWidth="1"/>
    <col min="6" max="7" width="14" customWidth="1"/>
    <col min="8" max="8" width="18" customWidth="1"/>
  </cols>
  <sheetData>
    <row r="1" spans="1:8" ht="18" x14ac:dyDescent="0.2">
      <c r="A1" s="28" t="s">
        <v>65</v>
      </c>
      <c r="B1" s="29"/>
      <c r="C1" s="29"/>
      <c r="D1" s="29"/>
      <c r="E1" s="29"/>
      <c r="F1" s="29"/>
      <c r="G1" s="29"/>
      <c r="H1" s="29"/>
    </row>
    <row r="3" spans="1:8" ht="30" x14ac:dyDescent="0.2">
      <c r="A3" s="3" t="s">
        <v>66</v>
      </c>
      <c r="B3" s="3" t="s">
        <v>4</v>
      </c>
      <c r="C3" s="3" t="s">
        <v>26</v>
      </c>
      <c r="D3" s="3" t="s">
        <v>67</v>
      </c>
      <c r="E3" s="3" t="s">
        <v>28</v>
      </c>
      <c r="F3" s="3" t="s">
        <v>68</v>
      </c>
      <c r="G3" s="3" t="s">
        <v>30</v>
      </c>
      <c r="H3" s="3" t="s">
        <v>69</v>
      </c>
    </row>
    <row r="4" spans="1:8" x14ac:dyDescent="0.2">
      <c r="A4" s="5" t="s">
        <v>70</v>
      </c>
      <c r="B4" s="5" t="str">
        <f>Параметры!B17</f>
        <v>Инженер поддержки (L1/L2)</v>
      </c>
      <c r="C4" s="2">
        <v>1</v>
      </c>
      <c r="D4" s="2">
        <v>12</v>
      </c>
      <c r="E4" s="9">
        <v>0.3</v>
      </c>
      <c r="F4" s="10">
        <f>C4*D4*Параметры!$D$4*E4</f>
        <v>79.2</v>
      </c>
      <c r="G4" s="11">
        <f>Параметры!D17</f>
        <v>15000</v>
      </c>
      <c r="H4" s="12">
        <f>F4*G4</f>
        <v>1188000</v>
      </c>
    </row>
    <row r="5" spans="1:8" x14ac:dyDescent="0.2">
      <c r="A5" s="5" t="s">
        <v>71</v>
      </c>
      <c r="B5" s="5" t="str">
        <f>Параметры!B17</f>
        <v>Инженер поддержки (L1/L2)</v>
      </c>
      <c r="C5" s="2">
        <v>1</v>
      </c>
      <c r="D5" s="2">
        <v>12</v>
      </c>
      <c r="E5" s="9">
        <v>0.5</v>
      </c>
      <c r="F5" s="10">
        <f>C5*D5*Параметры!$D$4*E5</f>
        <v>132</v>
      </c>
      <c r="G5" s="11">
        <f>Параметры!D17</f>
        <v>15000</v>
      </c>
      <c r="H5" s="12">
        <f>F5*G5</f>
        <v>1980000</v>
      </c>
    </row>
    <row r="6" spans="1:8" x14ac:dyDescent="0.2">
      <c r="A6" s="5" t="s">
        <v>72</v>
      </c>
      <c r="B6" s="5" t="str">
        <f>Параметры!B10</f>
        <v>Backend-разработчик (Java)</v>
      </c>
      <c r="C6" s="2">
        <v>1</v>
      </c>
      <c r="D6" s="2">
        <v>12</v>
      </c>
      <c r="E6" s="9">
        <v>0.2</v>
      </c>
      <c r="F6" s="10">
        <f>C6*D6*Параметры!$D$4*E6</f>
        <v>52.800000000000004</v>
      </c>
      <c r="G6" s="11">
        <f>Параметры!D10</f>
        <v>35000</v>
      </c>
      <c r="H6" s="12">
        <f>F6*G6</f>
        <v>1848000.0000000002</v>
      </c>
    </row>
    <row r="7" spans="1:8" x14ac:dyDescent="0.2">
      <c r="A7" s="5" t="s">
        <v>73</v>
      </c>
      <c r="B7" s="5" t="str">
        <f>Параметры!B12</f>
        <v>DevOps / инфраструктура</v>
      </c>
      <c r="C7" s="2">
        <v>1</v>
      </c>
      <c r="D7" s="2">
        <v>12</v>
      </c>
      <c r="E7" s="9">
        <v>0.1</v>
      </c>
      <c r="F7" s="10">
        <f>C7*D7*Параметры!$D$4*E7</f>
        <v>26.400000000000002</v>
      </c>
      <c r="G7" s="11">
        <f>Параметры!D12</f>
        <v>40000</v>
      </c>
      <c r="H7" s="12">
        <f>F7*G7</f>
        <v>1056000</v>
      </c>
    </row>
    <row r="8" spans="1:8" x14ac:dyDescent="0.2">
      <c r="A8" s="5" t="s">
        <v>74</v>
      </c>
      <c r="B8" s="5" t="str">
        <f>Параметры!B18</f>
        <v>Сервис-менеджер</v>
      </c>
      <c r="C8" s="2">
        <v>1</v>
      </c>
      <c r="D8" s="2">
        <v>12</v>
      </c>
      <c r="E8" s="9">
        <v>0.2</v>
      </c>
      <c r="F8" s="10">
        <f>C8*D8*Параметры!$D$4*E8</f>
        <v>52.800000000000004</v>
      </c>
      <c r="G8" s="11">
        <f>Параметры!D18</f>
        <v>15000</v>
      </c>
      <c r="H8" s="12">
        <f>F8*G8</f>
        <v>792000.00000000012</v>
      </c>
    </row>
    <row r="10" spans="1:8" x14ac:dyDescent="0.2">
      <c r="A10" s="37" t="s">
        <v>75</v>
      </c>
      <c r="B10" s="35"/>
      <c r="C10" s="35"/>
      <c r="D10" s="35"/>
      <c r="E10" s="35"/>
      <c r="F10" s="35"/>
      <c r="G10" s="36"/>
      <c r="H10" s="17">
        <f>SUM(H4:H8)</f>
        <v>6864000</v>
      </c>
    </row>
    <row r="11" spans="1:8" x14ac:dyDescent="0.2">
      <c r="A11" s="38" t="s">
        <v>61</v>
      </c>
      <c r="B11" s="35"/>
      <c r="C11" s="35"/>
      <c r="D11" s="35"/>
      <c r="E11" s="35"/>
      <c r="F11" s="35"/>
      <c r="G11" s="36"/>
      <c r="H11" s="18">
        <f>H10*Параметры!D3</f>
        <v>2402400</v>
      </c>
    </row>
    <row r="12" spans="1:8" ht="16" x14ac:dyDescent="0.2">
      <c r="A12" s="34" t="s">
        <v>76</v>
      </c>
      <c r="B12" s="35"/>
      <c r="C12" s="35"/>
      <c r="D12" s="35"/>
      <c r="E12" s="35"/>
      <c r="F12" s="35"/>
      <c r="G12" s="36"/>
      <c r="H12" s="20">
        <f>H10+H11</f>
        <v>9266400</v>
      </c>
    </row>
    <row r="14" spans="1:8" x14ac:dyDescent="0.2">
      <c r="A14" s="33" t="s">
        <v>77</v>
      </c>
      <c r="B14" s="29"/>
      <c r="C14" s="29"/>
      <c r="D14" s="29"/>
      <c r="E14" s="29"/>
      <c r="F14" s="21">
        <f>SUM(F4:F8)</f>
        <v>343.2</v>
      </c>
    </row>
  </sheetData>
  <mergeCells count="5">
    <mergeCell ref="A1:H1"/>
    <mergeCell ref="A12:G12"/>
    <mergeCell ref="A14:E14"/>
    <mergeCell ref="A11:G11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C14"/>
  <sheetViews>
    <sheetView workbookViewId="0">
      <selection sqref="A1:C1"/>
    </sheetView>
  </sheetViews>
  <sheetFormatPr baseColWidth="10" defaultColWidth="8.83203125" defaultRowHeight="15" x14ac:dyDescent="0.2"/>
  <cols>
    <col min="1" max="1" width="40" customWidth="1"/>
    <col min="2" max="3" width="22" customWidth="1"/>
  </cols>
  <sheetData>
    <row r="1" spans="1:3" ht="18" x14ac:dyDescent="0.2">
      <c r="A1" s="28" t="s">
        <v>78</v>
      </c>
      <c r="B1" s="29"/>
      <c r="C1" s="29"/>
    </row>
    <row r="3" spans="1:3" x14ac:dyDescent="0.2">
      <c r="A3" s="3" t="s">
        <v>79</v>
      </c>
      <c r="B3" s="3" t="s">
        <v>80</v>
      </c>
      <c r="C3" s="3" t="s">
        <v>81</v>
      </c>
    </row>
    <row r="4" spans="1:3" x14ac:dyDescent="0.2">
      <c r="A4" s="23" t="s">
        <v>82</v>
      </c>
      <c r="B4" s="12">
        <f>Внедрение!H45</f>
        <v>21498500</v>
      </c>
      <c r="C4" s="12">
        <f>Внедрение!H47</f>
        <v>29022975</v>
      </c>
    </row>
    <row r="5" spans="1:3" x14ac:dyDescent="0.2">
      <c r="A5" s="23" t="s">
        <v>83</v>
      </c>
      <c r="B5" s="12">
        <f>Сопровождение!H10</f>
        <v>6864000</v>
      </c>
      <c r="C5" s="12">
        <f>Сопровождение!H12</f>
        <v>9266400</v>
      </c>
    </row>
    <row r="6" spans="1:3" x14ac:dyDescent="0.2">
      <c r="A6" s="23" t="s">
        <v>84</v>
      </c>
      <c r="B6" s="24">
        <v>0</v>
      </c>
      <c r="C6" s="24">
        <v>0</v>
      </c>
    </row>
    <row r="7" spans="1:3" x14ac:dyDescent="0.2">
      <c r="A7" s="23"/>
    </row>
    <row r="8" spans="1:3" ht="16" x14ac:dyDescent="0.2">
      <c r="A8" s="19" t="s">
        <v>85</v>
      </c>
      <c r="B8" s="20">
        <f>B4+B5+B6</f>
        <v>28362500</v>
      </c>
      <c r="C8" s="20">
        <f>C4+C5+C6</f>
        <v>38289375</v>
      </c>
    </row>
    <row r="9" spans="1:3" x14ac:dyDescent="0.2">
      <c r="A9" s="16" t="s">
        <v>86</v>
      </c>
      <c r="B9" s="17">
        <f>B5+B6</f>
        <v>6864000</v>
      </c>
      <c r="C9" s="17">
        <f>C5+C6</f>
        <v>9266400</v>
      </c>
    </row>
    <row r="11" spans="1:3" x14ac:dyDescent="0.2">
      <c r="A11" s="25" t="s">
        <v>87</v>
      </c>
      <c r="B11" s="26">
        <f>Параметры!D3</f>
        <v>0.35</v>
      </c>
    </row>
    <row r="13" spans="1:3" ht="18" x14ac:dyDescent="0.2">
      <c r="A13" s="39" t="s">
        <v>88</v>
      </c>
      <c r="B13" s="36"/>
      <c r="C13" s="27">
        <f>C8+C9*2</f>
        <v>56822175</v>
      </c>
    </row>
    <row r="14" spans="1:3" ht="18" x14ac:dyDescent="0.2">
      <c r="A14" s="39" t="s">
        <v>89</v>
      </c>
      <c r="B14" s="36"/>
      <c r="C14" s="27">
        <f>C8+C9*4</f>
        <v>75354975</v>
      </c>
    </row>
  </sheetData>
  <mergeCells count="3">
    <mergeCell ref="A1:C1"/>
    <mergeCell ref="A13:B13"/>
    <mergeCell ref="A14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Параметры</vt:lpstr>
      <vt:lpstr>Внедрение</vt:lpstr>
      <vt:lpstr>Сопровождение</vt:lpstr>
      <vt:lpstr>Сводка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2026-03-16T11:40:13Z</dcterms:created>
  <dcterms:modified xsi:type="dcterms:W3CDTF">2026-03-16T11:52:10Z</dcterms:modified>
</cp:coreProperties>
</file>